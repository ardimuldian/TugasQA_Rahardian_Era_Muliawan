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QA_Test_Dummy\TugasQA_Rahardian_Era_Muliawan\test_case_and_bug_reporting\"/>
    </mc:Choice>
  </mc:AlternateContent>
  <xr:revisionPtr revIDLastSave="0" documentId="13_ncr:1_{12B499F0-6726-47CC-950B-7189C8E98668}" xr6:coauthVersionLast="47" xr6:coauthVersionMax="47" xr10:uidLastSave="{00000000-0000-0000-0000-000000000000}"/>
  <bookViews>
    <workbookView xWindow="-120" yWindow="-120" windowWidth="20730" windowHeight="11160" activeTab="1" xr2:uid="{00000000-000D-0000-FFFF-FFFF00000000}"/>
  </bookViews>
  <sheets>
    <sheet name="Test_Case" sheetId="1" r:id="rId1"/>
    <sheet name="Bug_Report"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9" i="2" l="1"/>
  <c r="H8" i="2"/>
  <c r="H7" i="2"/>
  <c r="H6" i="2"/>
  <c r="H5" i="2"/>
  <c r="F10" i="2"/>
  <c r="F9" i="2"/>
  <c r="F8" i="2"/>
  <c r="F7" i="2"/>
  <c r="F6" i="2"/>
  <c r="F5" i="2"/>
  <c r="H6" i="1"/>
  <c r="H5" i="1"/>
  <c r="F6" i="1"/>
  <c r="F8" i="1"/>
  <c r="F7" i="1"/>
  <c r="F5" i="1"/>
</calcChain>
</file>

<file path=xl/sharedStrings.xml><?xml version="1.0" encoding="utf-8"?>
<sst xmlns="http://schemas.openxmlformats.org/spreadsheetml/2006/main" count="278" uniqueCount="182">
  <si>
    <t>No</t>
  </si>
  <si>
    <t>Test Type</t>
  </si>
  <si>
    <t>User Story</t>
  </si>
  <si>
    <t>Test Scenario</t>
  </si>
  <si>
    <t>Test Step</t>
  </si>
  <si>
    <t>Expected Result</t>
  </si>
  <si>
    <t>Status</t>
  </si>
  <si>
    <t>Actual Result</t>
  </si>
  <si>
    <t>Test Browser</t>
  </si>
  <si>
    <t>Sign UP</t>
  </si>
  <si>
    <t>Positive</t>
  </si>
  <si>
    <t>Waktu pengetesan :</t>
  </si>
  <si>
    <t>mulai :</t>
  </si>
  <si>
    <t>selesai :</t>
  </si>
  <si>
    <t>Jumlah Script</t>
  </si>
  <si>
    <t>Belum diuji</t>
  </si>
  <si>
    <t>Test Case Web App</t>
  </si>
  <si>
    <t>Chrome</t>
  </si>
  <si>
    <t xml:space="preserve">Sistem menampilkan notifikasi registrasi berhasil, namun akun yang didaftarkan tidak dapat digunakan untuk login. </t>
  </si>
  <si>
    <t>Pass</t>
  </si>
  <si>
    <t>Fail</t>
  </si>
  <si>
    <t>Negative</t>
  </si>
  <si>
    <t>Untuk memastikan
sistem mencegah proses registrasi apabila kolom nama yang bersifat wajib tidak diisi.</t>
  </si>
  <si>
    <t>Untuk memastikan
data yang digunakan
merupakan data valid
dan belum diregistrasi kan</t>
  </si>
  <si>
    <t xml:space="preserve">User melakukan
registrasi akun
menggunakan valid
data </t>
  </si>
  <si>
    <t>Memverifikasi validasi kolom nama ketika dibiarkan kosong.</t>
  </si>
  <si>
    <t>Sistem menampilkan pesan validasi pada kolom nama wajib diisi.</t>
  </si>
  <si>
    <t>Memverifikasi validasi kolom username ketika dibiarkan kosong.</t>
  </si>
  <si>
    <t>Untuk memastikan
sistem mencegah proses registrasi apabila kolom username yang bersifat wajib tidak diisi.</t>
  </si>
  <si>
    <t>Sistem menampilkan pesan validasi pada kolom username wajib diisi.</t>
  </si>
  <si>
    <t>Untuk memastikan
sistem mencegah proses registrasi apabila kolom email yang bersifat wajib tidak diisi.</t>
  </si>
  <si>
    <t>Memverifikasi validasi kolom email ketika dibiarkan kosong.</t>
  </si>
  <si>
    <t>Sistem menampilkan pesan validasi pada kolom email wajib diisi.</t>
  </si>
  <si>
    <t>Memverifikasi validasi kolom password ketika dibiarkan kosong.</t>
  </si>
  <si>
    <t>Untuk memastikan
sistem mencegah proses registrasi apabila kolom password yang bersifat wajib tidak diisi.</t>
  </si>
  <si>
    <t>1. Akses url : https://pasanginapp.github.io/pasangin-QA-testing/signup.html
2. Kosongkan field password
3. Lengkapi data field lainnya dengan valid data
4. Klik button buat akun</t>
  </si>
  <si>
    <t>Sistem menampilkan pesan validasi pada kolom password wajib diisi.</t>
  </si>
  <si>
    <t>Untuk memastikan
sistem mencegah proses registrasi apabila email yang didaftarkan bukan valid format email.</t>
  </si>
  <si>
    <t>Memverifikasi validasi format email yang tidak valid tanpa simbol @</t>
  </si>
  <si>
    <t>Memverifikasi validasi format email yang tidak memiliki domain setelah simbol "@"</t>
  </si>
  <si>
    <t>Sistem menampilkan pesan validasi bahwa format email tidak valid dan mencegah proses registrasi.</t>
  </si>
  <si>
    <t>Sistem menerima format email yang tidak memiliki domain setelah simbol "@" dan mengizinkan proses registrasi dilanjutkan.</t>
  </si>
  <si>
    <t>Sistem menampilkan pesan validasi pada kolom format email untuk menggunakan "@"</t>
  </si>
  <si>
    <t>Lolos diuji</t>
  </si>
  <si>
    <t>Tidak lolos diuji</t>
  </si>
  <si>
    <t>Sistem mencegah registrasi menggunakan email yang sudah terdaftar agar setiap akun memiliki email yang unik.</t>
  </si>
  <si>
    <t>Memverifikasi bahwa sistem menolak registrasi menggunakan alamat email yang telah terdaftar.</t>
  </si>
  <si>
    <t>Sistem menampilkan pesan bahwa alamat email sudah terdaftar dan mencegah proses registrasi.</t>
  </si>
  <si>
    <t>Sistem menerima registrasi menggunakan alamat email yang sudah terdaftar dan tetap memproses pembuatan akun.</t>
  </si>
  <si>
    <t>Login</t>
  </si>
  <si>
    <t>Masuk ke aplikasi menggunakan username dan password yang terdaftar agar dapat mengakses fitur aplikasi.</t>
  </si>
  <si>
    <t>Sistem mencegah registrasi menggunakan username yang sudah terdaftar agar setiap akun memiliki username yang unik.</t>
  </si>
  <si>
    <t>Memverifikasi bahwa sistem menolak registrasi menggunakan username yang telah terdaftar.</t>
  </si>
  <si>
    <t>Sistem menampilkan pesan bahwa username sudah terdaftar dan mencegah proses registrasi.</t>
  </si>
  <si>
    <t>Sistem menerima registrasi menggunakan username yang sudah terdaftar dan tetap memproses pembuatan akun.</t>
  </si>
  <si>
    <t>Sistem menolak proses login menggunakan username dan password yang telah didaftarkan serta menampilkan pesan bahwa username atau password tidak valid.</t>
  </si>
  <si>
    <t>sistem memverifikasi autentifikasi akun user yang tidak terdaftar</t>
  </si>
  <si>
    <t>Sistem berhasil membuat akun user dan menyimpan data pendaftaran nya sehingga user bisa login menggunakan kredentials akun yang di daftarkan</t>
  </si>
  <si>
    <t>Memverifikasi bahwa user dapat login menggunakan username dan password yang terdaftar.</t>
  </si>
  <si>
    <t>Sistem berhasil mengautentikasi user dan mengarahkan user ke halaman utama / dasboard user.</t>
  </si>
  <si>
    <t>Memverifikasi bahwa user yang tidak terdaftar tidak memiliki akses ke halaman utama aplikasi / dashboard user.</t>
  </si>
  <si>
    <t>Sistem berhasil memverifikasi bahwa user tidak terdaftar</t>
  </si>
  <si>
    <t>Sistem menolak proses login menggunakan username dan password yang tidak didaftarkan serta menampilkan pesan bahwa username atau password tidak valid.</t>
  </si>
  <si>
    <t>Memastikan redirect link ke halaman aplikasi google play bisa digunakan dan bisa diunduh</t>
  </si>
  <si>
    <t>Sistem mengarahkan pengguna ke halaman aplikasi yang sesuai di Google Play Store.</t>
  </si>
  <si>
    <t>Navigation Login</t>
  </si>
  <si>
    <t>Navigation Register</t>
  </si>
  <si>
    <t>Navigation Download Aplikasi di Play Store</t>
  </si>
  <si>
    <t>1. Akses register di url : https://pasanginapp.github.io/pasangin-QA-testing/signup.html
2. Lengkapi data nama lengkap
3. Lengkapi data username
4. Lengkapi data email dengan valid format email yang belum di daftarkan
5. Lengkapi data password
6. Klik button buat akun</t>
  </si>
  <si>
    <t>1. Akses login di url : https://pasanginapp.github.io/pasangin-QA-testing/signup.html
2. Kosongkan field nama
3. Lengkapi data field lainnya dengan valid data
4. Klik button buat akun</t>
  </si>
  <si>
    <t>1. Akses url register di : https://pasanginapp.github.io/pasangin-QA-testing/signup.html
2. Kosongkan field username
3. Lengkapi data field lainnya dengan valid data
4. Klik button buat akun</t>
  </si>
  <si>
    <t>1. Akses url register di : https://pasanginapp.github.io/pasangin-QA-testing/signup.html
2. Kosongkan field email
3. Lengkapi data field lainnya dengan valid data
4. Klik button buat akun</t>
  </si>
  <si>
    <t>1. Akses url register di : https://pasanginapp.github.io/pasangin-QA-testing/signup.html
2. Pada data email lengkapi dengan format email tanpa menggunakan "@" (contoh: anton.com)
3. Lengkapi data field lainnya dengan valid data
4. Klik button buat akun</t>
  </si>
  <si>
    <t>1. Akses url register di : https://pasanginapp.github.io/pasangin-QA-testing/signup.html
2. Pada data email lengkapi dengan format email tanpa menggunakan domain setelah "@" (contoh: anton@)
3. Lengkapi data field lainnya dengan valid data
4. Klik button buat akun</t>
  </si>
  <si>
    <t>1. Buat 2 Tab pada chrome
2. Akses url register di : https://pasanginapp.github.io/pasangin-QA-testing/signup.html
3. Pada tab pertama lengkapi data dengan valid dan gunakan email dan username yang belum terdaftar (contoh: username : anton1997exist 
dan email : anton@gmail.com)
4. Klik button buat akun
5. Tunggu hingga ada validasi akun berhasil dibuat
6. Pindah ke tab ke 2
7. lengkapi data dengan valid dan gunakan email yang sudah digunakan di tab pertama (contoh: anton@gmail.com) dengan username yang berbeda
8. Klik button buat akun</t>
  </si>
  <si>
    <t>1. Buat 2 Tab pada chrome
2. Akses url register di : https://pasanginapp.github.io/pasangin-QA-testing/signup.html
3. Pada tab pertama lengkapi data dengan valid dan gunakan email dan username yang belum terdaftar (contoh: username : anton1997exist 
dan email : anton@gmail.com)
4. Klik button buat akun
5. Tunggu hingga ada validasi akun berhasil dibuat
6. Pindah ke tab ke 2
7. lengkapi data dengan valid dan gunakan username yang sudah digunakan di tab pertama (contoh: anton1997exist) dengan email 
yang berbeda (contoh : anton1997hadir@gmail.com)
8. Klik button buat akun</t>
  </si>
  <si>
    <t>1. Akses url login di : https://pasanginapp.github.io/pasangin-QA-testing/login.html
2. Masukkan username yang terdaftar
3. Masukkan valid password yang digunakan
4. Klik button masuk akun</t>
  </si>
  <si>
    <t>1. Akses url login di : https://pasanginapp.github.io/pasangin-QA-testing/login.html
2. Masukkan username yang tidak terdaftar
3. Masukkan password
4. Klik button masuk akun</t>
  </si>
  <si>
    <t>Sistem mengarahkan pengguna ke halaman login.</t>
  </si>
  <si>
    <t>Memastikan button navigation untuk download aplikasi berfungsi</t>
  </si>
  <si>
    <t>Memastikan button navigation untuk login aplikasi berfungsi</t>
  </si>
  <si>
    <t>Memastikan redirect link ke halaman login aplikasi berfungsing</t>
  </si>
  <si>
    <t>1. Akses url : https://pasanginapp.github.io/pasangin-QA-testing
2. Klik Button Login</t>
  </si>
  <si>
    <t>Memastikan button navigation untuk register aplikasi berfungsi</t>
  </si>
  <si>
    <t>Memastikan redirect link ke halaman register aplikasi berfungsing</t>
  </si>
  <si>
    <t>1. Akses url : https://pasanginapp.github.io/pasangin-QA-testing
2. Klik Button Sign Up</t>
  </si>
  <si>
    <t>Sistem mengarahkan pengguna ke halaman register.</t>
  </si>
  <si>
    <t>1. Akses url login di : https://pasanginapp.github.io/pasangin-QA-testing
2. Pilih Aplikasi kemudian pilih detail aplikasi
2. Klik Button Download App</t>
  </si>
  <si>
    <t>Tentang</t>
  </si>
  <si>
    <t>Memastikan isi konten tentang dapat diakses / ditampilkan</t>
  </si>
  <si>
    <t>1. Akses url : https://pasanginapp.github.io/pasangin-QA-testing
2. Klik Tentang</t>
  </si>
  <si>
    <t>Pengenalan Perusahaan</t>
  </si>
  <si>
    <t>Menampilkan bagian deskripsi aplikasi pada halaman Homepage terkait deskripsi aplikasi.</t>
  </si>
  <si>
    <t>Menampilkan bagian deskripsi aplikasi pada halaman Homepage terkait pengenalan aplikasi perusahaan.</t>
  </si>
  <si>
    <t>1. Akses url : https://pasanginapp.github.io/pasangin-QA-testing
2. Klik Button Pengenalan Perusahaan di banner Pasangin Architecture</t>
  </si>
  <si>
    <t>Mengarahkan ke isi konten terkait pengenalan aplikasi perusahaan.</t>
  </si>
  <si>
    <t>Mengarahkan ke isi konten terkait deskripsi aplikasi.</t>
  </si>
  <si>
    <t>Detail Aplikasi</t>
  </si>
  <si>
    <t>Memastikan efek visual saat mengarahkan kursor ke gambar aplikasi dan klik kursor berfungsi</t>
  </si>
  <si>
    <t>Menampilkan perubahan visual ketika kursor di arahkan ke gambar aplikasi dan menampilkan gambar ketika klik diarahkan di gambar</t>
  </si>
  <si>
    <t>1. Akses url : https://pasanginapp.github.io/pasangin-QA-testing
2. Klik Button Pengenalan Perusahaan di banner Pasangin Architecture
3. Klik Lihat Detail Aplikasi
4. Arahkan Cursor ke gambar aplikasi
5. Klik gambar aplikasi</t>
  </si>
  <si>
    <t>Menampilkan perubahan visual ketika cursor di arahkan ke gambar aplikasi dan menampilkan pop up aplikasi ketika klik pada gambar</t>
  </si>
  <si>
    <t>Tampil perubahan visual saat kursor diarahkan dan muncul pop up saat gambar di klik</t>
  </si>
  <si>
    <t>Tampil isi konten terkait pengenalan aplikasi perusahaan.</t>
  </si>
  <si>
    <t>Tampil isi konten terkait deskripsi aplikasi.</t>
  </si>
  <si>
    <t>Tampil halaman register</t>
  </si>
  <si>
    <t>Tampil detail informasi aplikasi di halaman google play beserta pilihan untuk mengunduh aplikasi nya</t>
  </si>
  <si>
    <t>Tampil halaman login</t>
  </si>
  <si>
    <t>Jumlah Positive Scenario</t>
  </si>
  <si>
    <t xml:space="preserve">Jumlah Negative Scenario </t>
  </si>
  <si>
    <t>22/07/2026</t>
  </si>
  <si>
    <t>Berikut Jawaban Test Case Web App</t>
  </si>
  <si>
    <t>Berikut Jawaban Bug Report</t>
  </si>
  <si>
    <t>Bug Report</t>
  </si>
  <si>
    <t>Total Bug</t>
  </si>
  <si>
    <t>Open</t>
  </si>
  <si>
    <t>In Progress</t>
  </si>
  <si>
    <t>Resolved</t>
  </si>
  <si>
    <t>Blocked</t>
  </si>
  <si>
    <t>Closed</t>
  </si>
  <si>
    <t>Bug Priority High</t>
  </si>
  <si>
    <t>Bug Priority Medium</t>
  </si>
  <si>
    <t>Menu / Feature</t>
  </si>
  <si>
    <t>Bug Type</t>
  </si>
  <si>
    <t>Bug Functional</t>
  </si>
  <si>
    <t>Bug UI</t>
  </si>
  <si>
    <t>Waktu catatan temuan bug :</t>
  </si>
  <si>
    <t>23/07/2026</t>
  </si>
  <si>
    <t>Bug Title</t>
  </si>
  <si>
    <t>Steps to Reproduce</t>
  </si>
  <si>
    <t>Evidence</t>
  </si>
  <si>
    <t>Sign Up</t>
  </si>
  <si>
    <t>Functional</t>
  </si>
  <si>
    <t>Registrasi berhasil ditampilkan, namun data akun tidak diproses setelah formulir dikirim.</t>
  </si>
  <si>
    <t>Sistem memproses data registrasi, mengirimkan permintaan ke server, menyimpan data akun, dan akun dapat digunakan untuk login.</t>
  </si>
  <si>
    <t>Sistem menampilkan notifikasi registrasi berhasil, namun akun tidak dapat digunakan untuk login. Tidak terdeteksi network request pada saat proses registrasi.</t>
  </si>
  <si>
    <t>Bug Level</t>
  </si>
  <si>
    <t>High</t>
  </si>
  <si>
    <t>chrome</t>
  </si>
  <si>
    <t>Log In</t>
  </si>
  <si>
    <t>Pengguna tidak dapat login menggunakan akun yang baru diregistrasikan.</t>
  </si>
  <si>
    <t>1. Buka halaman Sign Up (url : https://pasanginapp.github.io/pasangin-QA-testing/signup.html).
2. Isi seluruh data registrasi dengan data yang valid.
3. Klik tombol Buat Akun.
4. Perhatikan notifikasi yang ditampilkan.
5. Periksa tab Network pada Developer Tools.
6. Coba login menggunakan akun yang baru didaftarkan.</t>
  </si>
  <si>
    <t>1. Sudah melakukan registrasi menggunakan data yang valid.
2. Buka halaman Login (url : https://pasanginapp.github.io/pasangin-QA-testing/login.html).
3. Masukkan username dan password yang digunakan saat  registrasi.
4. Klik tombol Login.</t>
  </si>
  <si>
    <t>Sistem gagal mengautentikasi pengguna menggunakan akun yang baru diregistrasikan sehingga proses login tidak berhasil. Ini bersinggungan dengan registrasi yang tidak
melakukan request data di network</t>
  </si>
  <si>
    <t>UI</t>
  </si>
  <si>
    <t>Text "Formulir Pendaftaran" di login.</t>
  </si>
  <si>
    <t>1. Buka halaman Login (url : https://pasanginapp.github.io/pasangin-QA-testing/login.html).
3. Terdapat text "Formulir Pendaftaran" di login</t>
  </si>
  <si>
    <t>Judul ataupun text yang ditampilkan sesuai dengan halaman atau fitur yang di akses</t>
  </si>
  <si>
    <t xml:space="preserve">Terdapat text "Formulir Pendaftaran" di login
</t>
  </si>
  <si>
    <t>Keterangan</t>
  </si>
  <si>
    <t xml:space="preserve">
</t>
  </si>
  <si>
    <t>berdasarkan tracing pengujian ketika Notifikasi registrasi berhasil pada tap network tidak menampikan request data registrasi namun di console menampilkan data sign up</t>
  </si>
  <si>
    <t xml:space="preserve">
</t>
  </si>
  <si>
    <t>Bug ini merupakan dampak dari Bug Sign Up, di mana proses registrasi tidak memproses data akun sehingga akun yang baru diregistrasikan tidak dapat digunakan untuk autentikasi.</t>
  </si>
  <si>
    <t xml:space="preserve">
</t>
  </si>
  <si>
    <t>Sebaik nya hilangkan saja text "Formulir Pendaftaran" di login</t>
  </si>
  <si>
    <t>Bug Priority Low</t>
  </si>
  <si>
    <t>Low</t>
  </si>
  <si>
    <t>Homepage / Footer</t>
  </si>
  <si>
    <t>Medium</t>
  </si>
  <si>
    <t>Footer Clickable dan page nya not found</t>
  </si>
  <si>
    <t>1. Buka halaman Login (url : https://pasanginapp.github.io/pasangin-QA-testing/login.html).
3. Klik di bagian Footer</t>
  </si>
  <si>
    <t>Karena Footer tidak memuat konten seperti
contac us, about us atau lainnya seharusnya
tidak ada redirect page</t>
  </si>
  <si>
    <t xml:space="preserve">di footer bisa di klik dan redirect ke page yang belum tersedia / page not found
</t>
  </si>
  <si>
    <t>Sebaik nya hilangkan saja url yang ada di footer
karena page nya belum tersedia juga tidak
ada isi konten yang akan di informasikan di page baru di bagian footer</t>
  </si>
  <si>
    <t>Belum ada Validasi domain setelah email "@".</t>
  </si>
  <si>
    <t>Bug Description</t>
  </si>
  <si>
    <t>Sign_UP_Success_But_Failed_Save_Data_Account</t>
  </si>
  <si>
    <t>Verifiy_Filled_Email</t>
  </si>
  <si>
    <t>Log_In_Failed_Using_Exist_Account</t>
  </si>
  <si>
    <t>Wrong_Text_In_Login</t>
  </si>
  <si>
    <t>Footer_Link_Not_Found</t>
  </si>
  <si>
    <t xml:space="preserve">1. Buka halaman Sign Up (url : https://pasanginapp.github.io/pasangin-QA-testing/signup.html).
2. Isi nama lengkap,username dan password dengan data yang valid.
3. Isi email tanpa penambahan domain
</t>
  </si>
  <si>
    <t>Sistem meloloskan data email yang format 
domain nya masih belum sesuai.</t>
  </si>
  <si>
    <t>Sistem menampilkan pesan validasi pada kolom email, format email belum sesuai.</t>
  </si>
  <si>
    <t>seharusnya ada validasi domain valid email nya juga karena bisa menjadikan miss inputan atau informasi user ketika mendaftar</t>
  </si>
  <si>
    <t>Tittle_Sign_Up_Tab_Browser</t>
  </si>
  <si>
    <t>Nama judul di formulir registrasi belum sesuai</t>
  </si>
  <si>
    <t xml:space="preserve">1. Buka halaman Sign Up (url : https://pasanginapp.github.io/pasangin-QA-testing/signup.html).
2. Pada judul formulir menggunakan nama "Login - Pasangin"
</t>
  </si>
  <si>
    <t>Seharusnya ketika sign up nama judul formulir menjadi "Sign Up - Pasangin"</t>
  </si>
  <si>
    <t>Judul formulir sign up "Login - Pasangin"</t>
  </si>
  <si>
    <t>seharusnya judul formulir di sign up adalah
"Sign Up - Pasangin"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</si>
</sst>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color theme="1"/>
      <name val="Calibri"/>
      <family val="2"/>
      <scheme val="minor"/>
    </font>
    <font>
      <b/>
      <sz val="11"/>
      <color theme="8" tint="-0.499984740745262"/>
      <name val="Calibri"/>
      <family val="2"/>
      <scheme val="minor"/>
    </font>
  </fonts>
  <fills count="9">
    <fill>
      <patternFill patternType="none"/>
    </fill>
    <fill>
      <patternFill patternType="gray125"/>
    </fill>
    <fill>
      <patternFill patternType="solid">
        <fgColor theme="4" tint="-0.499984740745262"/>
        <bgColor indexed="64"/>
      </patternFill>
    </fill>
    <fill>
      <patternFill patternType="solid">
        <fgColor theme="9" tint="0.39997558519241921"/>
        <bgColor indexed="64"/>
      </patternFill>
    </fill>
    <fill>
      <patternFill patternType="solid">
        <fgColor theme="1" tint="4.9989318521683403E-2"/>
        <bgColor indexed="64"/>
      </patternFill>
    </fill>
    <fill>
      <patternFill patternType="solid">
        <fgColor theme="8" tint="0.79998168889431442"/>
        <bgColor indexed="64"/>
      </patternFill>
    </fill>
    <fill>
      <patternFill patternType="solid">
        <fgColor theme="4" tint="-0.249977111117893"/>
        <bgColor indexed="64"/>
      </patternFill>
    </fill>
    <fill>
      <patternFill patternType="solid">
        <fgColor theme="1"/>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31">
    <xf numFmtId="0" fontId="0" fillId="0" borderId="0" xfId="0"/>
    <xf numFmtId="0" fontId="0" fillId="0" borderId="0" xfId="0" applyAlignment="1">
      <alignment horizontal="left"/>
    </xf>
    <xf numFmtId="0" fontId="0" fillId="0" borderId="0" xfId="0" applyAlignment="1">
      <alignment horizontal="left" vertical="center"/>
    </xf>
    <xf numFmtId="0" fontId="0" fillId="0" borderId="1" xfId="0" applyBorder="1" applyAlignment="1">
      <alignment horizontal="left"/>
    </xf>
    <xf numFmtId="0" fontId="1" fillId="2" borderId="1" xfId="0" applyFont="1" applyFill="1" applyBorder="1" applyAlignment="1">
      <alignment horizontal="left"/>
    </xf>
    <xf numFmtId="0" fontId="0" fillId="0" borderId="1" xfId="0" applyBorder="1" applyAlignment="1">
      <alignment horizontal="left" vertical="center"/>
    </xf>
    <xf numFmtId="0" fontId="0" fillId="0" borderId="1" xfId="0" applyBorder="1" applyAlignment="1">
      <alignment horizontal="left" vertical="center" wrapText="1"/>
    </xf>
    <xf numFmtId="0" fontId="0" fillId="3" borderId="1" xfId="0" applyFill="1" applyBorder="1" applyAlignment="1">
      <alignment horizontal="left" vertical="center"/>
    </xf>
    <xf numFmtId="0" fontId="0" fillId="4" borderId="1" xfId="0" applyFill="1" applyBorder="1" applyAlignment="1">
      <alignment horizontal="left"/>
    </xf>
    <xf numFmtId="0" fontId="0" fillId="5" borderId="1" xfId="0" applyFill="1" applyBorder="1" applyAlignment="1">
      <alignment horizontal="left"/>
    </xf>
    <xf numFmtId="0" fontId="2" fillId="5" borderId="1" xfId="0" applyFont="1" applyFill="1" applyBorder="1" applyAlignment="1">
      <alignment horizontal="left"/>
    </xf>
    <xf numFmtId="0" fontId="2" fillId="6" borderId="1" xfId="0" applyFont="1" applyFill="1" applyBorder="1" applyAlignment="1">
      <alignment horizontal="left"/>
    </xf>
    <xf numFmtId="0" fontId="1" fillId="6" borderId="1" xfId="0" applyFont="1" applyFill="1" applyBorder="1" applyAlignment="1">
      <alignment horizontal="left"/>
    </xf>
    <xf numFmtId="0" fontId="3" fillId="0" borderId="0" xfId="0" applyFont="1" applyAlignment="1">
      <alignment horizontal="left"/>
    </xf>
    <xf numFmtId="0" fontId="1" fillId="6" borderId="1" xfId="0" applyFont="1" applyFill="1" applyBorder="1" applyAlignment="1">
      <alignment horizontal="left"/>
    </xf>
    <xf numFmtId="0" fontId="2" fillId="0" borderId="0" xfId="0" applyFont="1" applyAlignment="1">
      <alignment horizontal="center"/>
    </xf>
    <xf numFmtId="0" fontId="0" fillId="4" borderId="3" xfId="0" applyFill="1" applyBorder="1" applyAlignment="1">
      <alignment horizontal="center"/>
    </xf>
    <xf numFmtId="0" fontId="0" fillId="4" borderId="2" xfId="0" applyFill="1" applyBorder="1" applyAlignment="1">
      <alignment horizontal="center"/>
    </xf>
    <xf numFmtId="0" fontId="2" fillId="0" borderId="0" xfId="0" applyFont="1" applyAlignment="1">
      <alignment horizontal="left"/>
    </xf>
    <xf numFmtId="0" fontId="1" fillId="6" borderId="3" xfId="0" applyFont="1" applyFill="1" applyBorder="1" applyAlignment="1">
      <alignment horizontal="left"/>
    </xf>
    <xf numFmtId="0" fontId="1" fillId="6" borderId="2" xfId="0" applyFont="1" applyFill="1" applyBorder="1" applyAlignment="1">
      <alignment horizontal="left"/>
    </xf>
    <xf numFmtId="0" fontId="0" fillId="7" borderId="1" xfId="0" applyFill="1" applyBorder="1" applyAlignment="1">
      <alignment horizontal="left"/>
    </xf>
    <xf numFmtId="0" fontId="0" fillId="0" borderId="0" xfId="0" applyAlignment="1">
      <alignment horizontal="left" wrapText="1"/>
    </xf>
    <xf numFmtId="0" fontId="0" fillId="0" borderId="0" xfId="0" applyAlignment="1">
      <alignment horizontal="left" vertical="center" wrapText="1"/>
    </xf>
    <xf numFmtId="0" fontId="0" fillId="0" borderId="1" xfId="0" applyBorder="1" applyAlignment="1">
      <alignment horizontal="center" vertical="center" wrapText="1"/>
    </xf>
    <xf numFmtId="0" fontId="2" fillId="8" borderId="1" xfId="0" applyFont="1" applyFill="1" applyBorder="1" applyAlignment="1">
      <alignment horizontal="left"/>
    </xf>
    <xf numFmtId="0" fontId="1" fillId="8" borderId="1" xfId="0" applyFont="1" applyFill="1" applyBorder="1" applyAlignment="1">
      <alignment horizontal="left"/>
    </xf>
    <xf numFmtId="0" fontId="2" fillId="5" borderId="3" xfId="0" applyFont="1" applyFill="1" applyBorder="1" applyAlignment="1">
      <alignment horizontal="left"/>
    </xf>
    <xf numFmtId="0" fontId="1" fillId="2" borderId="4" xfId="0" applyFont="1" applyFill="1" applyBorder="1" applyAlignment="1">
      <alignment horizontal="left"/>
    </xf>
    <xf numFmtId="0" fontId="0" fillId="7" borderId="0" xfId="0" applyFill="1" applyAlignment="1">
      <alignment horizontal="left"/>
    </xf>
    <xf numFmtId="0" fontId="0" fillId="7" borderId="1" xfId="0" applyFill="1" applyBorder="1" applyAlignment="1"/>
  </cellXfs>
  <cellStyles count="1">
    <cellStyle name="Normal" xfId="0" builtinId="0"/>
  </cellStyles>
  <dxfs count="9">
    <dxf>
      <font>
        <b/>
        <i val="0"/>
      </font>
      <fill>
        <patternFill>
          <bgColor rgb="FFFFFF00"/>
        </patternFill>
      </fill>
    </dxf>
    <dxf>
      <font>
        <b/>
        <i val="0"/>
      </font>
      <fill>
        <patternFill>
          <bgColor theme="4" tint="0.39994506668294322"/>
        </patternFill>
      </fill>
    </dxf>
    <dxf>
      <font>
        <b/>
        <i val="0"/>
      </font>
      <fill>
        <patternFill>
          <bgColor rgb="FFFFFF00"/>
        </patternFill>
      </fill>
    </dxf>
    <dxf>
      <font>
        <b/>
        <i val="0"/>
      </font>
      <fill>
        <patternFill>
          <bgColor theme="4" tint="0.39994506668294322"/>
        </patternFill>
      </fill>
    </dxf>
    <dxf>
      <font>
        <b/>
        <i val="0"/>
        <u val="none"/>
        <color theme="1" tint="4.9989318521683403E-2"/>
      </font>
      <fill>
        <patternFill>
          <bgColor rgb="FFFF0000"/>
        </patternFill>
      </fill>
    </dxf>
    <dxf>
      <fill>
        <patternFill>
          <bgColor rgb="FF92D050"/>
        </patternFill>
      </fill>
    </dxf>
    <dxf>
      <fill>
        <patternFill>
          <bgColor rgb="FFFF0000"/>
        </patternFill>
      </fill>
    </dxf>
    <dxf>
      <fill>
        <patternFill>
          <bgColor theme="9" tint="0.59996337778862885"/>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10</xdr:col>
      <xdr:colOff>469916</xdr:colOff>
      <xdr:row>14</xdr:row>
      <xdr:rowOff>419100</xdr:rowOff>
    </xdr:from>
    <xdr:to>
      <xdr:col>10</xdr:col>
      <xdr:colOff>3484373</xdr:colOff>
      <xdr:row>14</xdr:row>
      <xdr:rowOff>1504950</xdr:rowOff>
    </xdr:to>
    <xdr:pic>
      <xdr:nvPicPr>
        <xdr:cNvPr id="7" name="Picture 6">
          <a:extLst>
            <a:ext uri="{FF2B5EF4-FFF2-40B4-BE49-F238E27FC236}">
              <a16:creationId xmlns:a16="http://schemas.microsoft.com/office/drawing/2014/main" id="{A7CC3F66-FFA5-B450-C615-FC4756D11F6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59" b="57615"/>
        <a:stretch>
          <a:fillRect/>
        </a:stretch>
      </xdr:blipFill>
      <xdr:spPr>
        <a:xfrm>
          <a:off x="19634216" y="6515100"/>
          <a:ext cx="3014457" cy="1085850"/>
        </a:xfrm>
        <a:prstGeom prst="rect">
          <a:avLst/>
        </a:prstGeom>
      </xdr:spPr>
    </xdr:pic>
    <xdr:clientData/>
  </xdr:twoCellAnchor>
  <xdr:twoCellAnchor>
    <xdr:from>
      <xdr:col>10</xdr:col>
      <xdr:colOff>841392</xdr:colOff>
      <xdr:row>15</xdr:row>
      <xdr:rowOff>161315</xdr:rowOff>
    </xdr:from>
    <xdr:to>
      <xdr:col>10</xdr:col>
      <xdr:colOff>3000375</xdr:colOff>
      <xdr:row>15</xdr:row>
      <xdr:rowOff>2279945</xdr:rowOff>
    </xdr:to>
    <xdr:pic>
      <xdr:nvPicPr>
        <xdr:cNvPr id="8" name="Picture 7">
          <a:extLst>
            <a:ext uri="{FF2B5EF4-FFF2-40B4-BE49-F238E27FC236}">
              <a16:creationId xmlns:a16="http://schemas.microsoft.com/office/drawing/2014/main" id="{F4AD094A-8164-45C4-9EF2-CAB88DF61BB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161" r="2161"/>
        <a:stretch/>
      </xdr:blipFill>
      <xdr:spPr>
        <a:xfrm>
          <a:off x="18834117" y="5104790"/>
          <a:ext cx="2158983" cy="2118630"/>
        </a:xfrm>
        <a:prstGeom prst="rect">
          <a:avLst/>
        </a:prstGeom>
      </xdr:spPr>
    </xdr:pic>
    <xdr:clientData/>
  </xdr:twoCellAnchor>
  <xdr:twoCellAnchor>
    <xdr:from>
      <xdr:col>10</xdr:col>
      <xdr:colOff>841392</xdr:colOff>
      <xdr:row>16</xdr:row>
      <xdr:rowOff>161315</xdr:rowOff>
    </xdr:from>
    <xdr:to>
      <xdr:col>10</xdr:col>
      <xdr:colOff>3000375</xdr:colOff>
      <xdr:row>16</xdr:row>
      <xdr:rowOff>2279945</xdr:rowOff>
    </xdr:to>
    <xdr:pic>
      <xdr:nvPicPr>
        <xdr:cNvPr id="9" name="Picture 8">
          <a:extLst>
            <a:ext uri="{FF2B5EF4-FFF2-40B4-BE49-F238E27FC236}">
              <a16:creationId xmlns:a16="http://schemas.microsoft.com/office/drawing/2014/main" id="{8635EC24-61E6-44E6-9D3A-0F65318F18B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t="2961" b="2961"/>
        <a:stretch/>
      </xdr:blipFill>
      <xdr:spPr>
        <a:xfrm>
          <a:off x="18834117" y="8152790"/>
          <a:ext cx="2158983" cy="2118630"/>
        </a:xfrm>
        <a:prstGeom prst="rect">
          <a:avLst/>
        </a:prstGeom>
      </xdr:spPr>
    </xdr:pic>
    <xdr:clientData/>
  </xdr:twoCellAnchor>
  <xdr:twoCellAnchor>
    <xdr:from>
      <xdr:col>10</xdr:col>
      <xdr:colOff>841392</xdr:colOff>
      <xdr:row>16</xdr:row>
      <xdr:rowOff>161315</xdr:rowOff>
    </xdr:from>
    <xdr:to>
      <xdr:col>10</xdr:col>
      <xdr:colOff>3000375</xdr:colOff>
      <xdr:row>16</xdr:row>
      <xdr:rowOff>2279945</xdr:rowOff>
    </xdr:to>
    <xdr:pic>
      <xdr:nvPicPr>
        <xdr:cNvPr id="10" name="Picture 9">
          <a:extLst>
            <a:ext uri="{FF2B5EF4-FFF2-40B4-BE49-F238E27FC236}">
              <a16:creationId xmlns:a16="http://schemas.microsoft.com/office/drawing/2014/main" id="{D08D1F1E-0B11-4EBA-9ABD-1E64149691E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2161" r="2161"/>
        <a:stretch/>
      </xdr:blipFill>
      <xdr:spPr>
        <a:xfrm>
          <a:off x="18224517" y="4352315"/>
          <a:ext cx="2158983" cy="1556655"/>
        </a:xfrm>
        <a:prstGeom prst="rect">
          <a:avLst/>
        </a:prstGeom>
      </xdr:spPr>
    </xdr:pic>
    <xdr:clientData/>
  </xdr:twoCellAnchor>
  <xdr:twoCellAnchor>
    <xdr:from>
      <xdr:col>10</xdr:col>
      <xdr:colOff>104776</xdr:colOff>
      <xdr:row>17</xdr:row>
      <xdr:rowOff>437541</xdr:rowOff>
    </xdr:from>
    <xdr:to>
      <xdr:col>10</xdr:col>
      <xdr:colOff>3920217</xdr:colOff>
      <xdr:row>17</xdr:row>
      <xdr:rowOff>1276351</xdr:rowOff>
    </xdr:to>
    <xdr:pic>
      <xdr:nvPicPr>
        <xdr:cNvPr id="11" name="Picture 10">
          <a:extLst>
            <a:ext uri="{FF2B5EF4-FFF2-40B4-BE49-F238E27FC236}">
              <a16:creationId xmlns:a16="http://schemas.microsoft.com/office/drawing/2014/main" id="{8B07346C-2E73-44AA-B15A-42F00BF523AB}"/>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l="156" r="36458"/>
        <a:stretch>
          <a:fillRect/>
        </a:stretch>
      </xdr:blipFill>
      <xdr:spPr>
        <a:xfrm>
          <a:off x="17487901" y="8819541"/>
          <a:ext cx="3815441" cy="838810"/>
        </a:xfrm>
        <a:prstGeom prst="rect">
          <a:avLst/>
        </a:prstGeom>
      </xdr:spPr>
    </xdr:pic>
    <xdr:clientData/>
  </xdr:twoCellAnchor>
  <xdr:twoCellAnchor>
    <xdr:from>
      <xdr:col>10</xdr:col>
      <xdr:colOff>441341</xdr:colOff>
      <xdr:row>12</xdr:row>
      <xdr:rowOff>56540</xdr:rowOff>
    </xdr:from>
    <xdr:to>
      <xdr:col>10</xdr:col>
      <xdr:colOff>3295650</xdr:colOff>
      <xdr:row>12</xdr:row>
      <xdr:rowOff>1819275</xdr:rowOff>
    </xdr:to>
    <xdr:pic>
      <xdr:nvPicPr>
        <xdr:cNvPr id="12" name="Picture 11">
          <a:extLst>
            <a:ext uri="{FF2B5EF4-FFF2-40B4-BE49-F238E27FC236}">
              <a16:creationId xmlns:a16="http://schemas.microsoft.com/office/drawing/2014/main" id="{7A5ECC53-358D-4567-86CE-E22233C7E7C9}"/>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b="12957"/>
        <a:stretch>
          <a:fillRect/>
        </a:stretch>
      </xdr:blipFill>
      <xdr:spPr>
        <a:xfrm>
          <a:off x="17824466" y="2533040"/>
          <a:ext cx="2854309" cy="1762735"/>
        </a:xfrm>
        <a:prstGeom prst="rect">
          <a:avLst/>
        </a:prstGeom>
      </xdr:spPr>
    </xdr:pic>
    <xdr:clientData/>
  </xdr:twoCellAnchor>
  <xdr:twoCellAnchor>
    <xdr:from>
      <xdr:col>10</xdr:col>
      <xdr:colOff>441341</xdr:colOff>
      <xdr:row>13</xdr:row>
      <xdr:rowOff>56540</xdr:rowOff>
    </xdr:from>
    <xdr:to>
      <xdr:col>10</xdr:col>
      <xdr:colOff>3295650</xdr:colOff>
      <xdr:row>13</xdr:row>
      <xdr:rowOff>1819275</xdr:rowOff>
    </xdr:to>
    <xdr:pic>
      <xdr:nvPicPr>
        <xdr:cNvPr id="13" name="Picture 12">
          <a:extLst>
            <a:ext uri="{FF2B5EF4-FFF2-40B4-BE49-F238E27FC236}">
              <a16:creationId xmlns:a16="http://schemas.microsoft.com/office/drawing/2014/main" id="{42B94883-71AD-4DA7-978D-98AB2792505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t="10536" b="10536"/>
        <a:stretch/>
      </xdr:blipFill>
      <xdr:spPr>
        <a:xfrm>
          <a:off x="19529441" y="4438040"/>
          <a:ext cx="2854309" cy="17627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27"/>
  <sheetViews>
    <sheetView topLeftCell="A10" workbookViewId="0">
      <selection activeCell="F11" sqref="F11"/>
    </sheetView>
  </sheetViews>
  <sheetFormatPr defaultRowHeight="15" x14ac:dyDescent="0.25"/>
  <cols>
    <col min="1" max="1" width="9.140625" style="1"/>
    <col min="2" max="2" width="15" style="1" bestFit="1" customWidth="1"/>
    <col min="3" max="3" width="16.28515625" style="1" customWidth="1"/>
    <col min="4" max="4" width="18.140625" style="1" customWidth="1"/>
    <col min="5" max="5" width="18.42578125" style="1" customWidth="1"/>
    <col min="6" max="6" width="71.28515625" style="1" bestFit="1" customWidth="1"/>
    <col min="7" max="7" width="24.42578125" style="1" customWidth="1"/>
    <col min="8" max="8" width="27.85546875" style="1" bestFit="1" customWidth="1"/>
    <col min="9" max="9" width="15.28515625" style="1" bestFit="1" customWidth="1"/>
    <col min="10" max="16384" width="9.140625" style="1"/>
  </cols>
  <sheetData>
    <row r="1" spans="1:10" x14ac:dyDescent="0.25">
      <c r="A1" s="13" t="s">
        <v>111</v>
      </c>
      <c r="B1" s="13"/>
      <c r="C1" s="13"/>
      <c r="D1" s="13"/>
      <c r="E1" s="13"/>
      <c r="F1" s="13"/>
    </row>
    <row r="3" spans="1:10" x14ac:dyDescent="0.25">
      <c r="A3" s="15" t="s">
        <v>16</v>
      </c>
      <c r="B3" s="15"/>
    </row>
    <row r="5" spans="1:10" x14ac:dyDescent="0.25">
      <c r="A5" s="14" t="s">
        <v>11</v>
      </c>
      <c r="B5" s="14"/>
      <c r="C5" s="11"/>
      <c r="D5" s="3"/>
      <c r="E5" s="10" t="s">
        <v>14</v>
      </c>
      <c r="F5" s="10">
        <f>COUNTA(A11:A27)</f>
        <v>17</v>
      </c>
      <c r="G5" s="10" t="s">
        <v>108</v>
      </c>
      <c r="H5" s="9">
        <f>COUNTIF(C11:C27,"Positive")</f>
        <v>8</v>
      </c>
    </row>
    <row r="6" spans="1:10" x14ac:dyDescent="0.25">
      <c r="A6" s="14" t="s">
        <v>12</v>
      </c>
      <c r="B6" s="14"/>
      <c r="C6" s="12" t="s">
        <v>110</v>
      </c>
      <c r="D6" s="3"/>
      <c r="E6" s="10" t="s">
        <v>43</v>
      </c>
      <c r="F6" s="10">
        <f>COUNTIF(J11:J27,"PASS")</f>
        <v>12</v>
      </c>
      <c r="G6" s="10" t="s">
        <v>109</v>
      </c>
      <c r="H6" s="9">
        <f>COUNTIF(C11:C27,"Negative")</f>
        <v>9</v>
      </c>
    </row>
    <row r="7" spans="1:10" x14ac:dyDescent="0.25">
      <c r="A7" s="14" t="s">
        <v>13</v>
      </c>
      <c r="B7" s="14"/>
      <c r="C7" s="11"/>
      <c r="D7" s="3"/>
      <c r="E7" s="10" t="s">
        <v>44</v>
      </c>
      <c r="F7" s="10">
        <f>COUNTIF(J11:J27,"Fail")</f>
        <v>5</v>
      </c>
      <c r="G7" s="21"/>
      <c r="H7" s="21"/>
    </row>
    <row r="8" spans="1:10" x14ac:dyDescent="0.25">
      <c r="A8" s="16"/>
      <c r="B8" s="17"/>
      <c r="C8" s="8"/>
      <c r="D8" s="8"/>
      <c r="E8" s="10" t="s">
        <v>15</v>
      </c>
      <c r="F8" s="10">
        <f>COUNTIF(J11:J27,"Not Start")</f>
        <v>0</v>
      </c>
      <c r="G8" s="21"/>
      <c r="H8" s="21"/>
    </row>
    <row r="10" spans="1:10" x14ac:dyDescent="0.25">
      <c r="A10" s="4" t="s">
        <v>0</v>
      </c>
      <c r="B10" s="4" t="s">
        <v>122</v>
      </c>
      <c r="C10" s="4" t="s">
        <v>1</v>
      </c>
      <c r="D10" s="4" t="s">
        <v>2</v>
      </c>
      <c r="E10" s="4" t="s">
        <v>3</v>
      </c>
      <c r="F10" s="4" t="s">
        <v>4</v>
      </c>
      <c r="G10" s="4" t="s">
        <v>5</v>
      </c>
      <c r="H10" s="4" t="s">
        <v>7</v>
      </c>
      <c r="I10" s="4" t="s">
        <v>8</v>
      </c>
      <c r="J10" s="4" t="s">
        <v>6</v>
      </c>
    </row>
    <row r="11" spans="1:10" s="2" customFormat="1" ht="105" x14ac:dyDescent="0.25">
      <c r="A11" s="5">
        <v>1</v>
      </c>
      <c r="B11" s="5" t="s">
        <v>9</v>
      </c>
      <c r="C11" s="7" t="s">
        <v>10</v>
      </c>
      <c r="D11" s="6" t="s">
        <v>24</v>
      </c>
      <c r="E11" s="6" t="s">
        <v>23</v>
      </c>
      <c r="F11" s="6" t="s">
        <v>68</v>
      </c>
      <c r="G11" s="6" t="s">
        <v>57</v>
      </c>
      <c r="H11" s="6" t="s">
        <v>18</v>
      </c>
      <c r="I11" s="5" t="s">
        <v>17</v>
      </c>
      <c r="J11" s="5" t="s">
        <v>20</v>
      </c>
    </row>
    <row r="12" spans="1:10" s="2" customFormat="1" ht="90" x14ac:dyDescent="0.25">
      <c r="A12" s="5">
        <v>2</v>
      </c>
      <c r="B12" s="5" t="s">
        <v>9</v>
      </c>
      <c r="C12" s="7" t="s">
        <v>21</v>
      </c>
      <c r="D12" s="6" t="s">
        <v>25</v>
      </c>
      <c r="E12" s="6" t="s">
        <v>22</v>
      </c>
      <c r="F12" s="6" t="s">
        <v>69</v>
      </c>
      <c r="G12" s="6" t="s">
        <v>26</v>
      </c>
      <c r="H12" s="6" t="s">
        <v>26</v>
      </c>
      <c r="I12" s="5" t="s">
        <v>17</v>
      </c>
      <c r="J12" s="5" t="s">
        <v>19</v>
      </c>
    </row>
    <row r="13" spans="1:10" s="2" customFormat="1" ht="105" x14ac:dyDescent="0.25">
      <c r="A13" s="5">
        <v>3</v>
      </c>
      <c r="B13" s="5" t="s">
        <v>9</v>
      </c>
      <c r="C13" s="7" t="s">
        <v>21</v>
      </c>
      <c r="D13" s="6" t="s">
        <v>27</v>
      </c>
      <c r="E13" s="6" t="s">
        <v>28</v>
      </c>
      <c r="F13" s="6" t="s">
        <v>70</v>
      </c>
      <c r="G13" s="6" t="s">
        <v>29</v>
      </c>
      <c r="H13" s="6" t="s">
        <v>29</v>
      </c>
      <c r="I13" s="5" t="s">
        <v>17</v>
      </c>
      <c r="J13" s="5" t="s">
        <v>19</v>
      </c>
    </row>
    <row r="14" spans="1:10" s="2" customFormat="1" ht="90" x14ac:dyDescent="0.25">
      <c r="A14" s="5">
        <v>4</v>
      </c>
      <c r="B14" s="5" t="s">
        <v>9</v>
      </c>
      <c r="C14" s="7" t="s">
        <v>21</v>
      </c>
      <c r="D14" s="6" t="s">
        <v>31</v>
      </c>
      <c r="E14" s="6" t="s">
        <v>30</v>
      </c>
      <c r="F14" s="6" t="s">
        <v>71</v>
      </c>
      <c r="G14" s="6" t="s">
        <v>32</v>
      </c>
      <c r="H14" s="6" t="s">
        <v>32</v>
      </c>
      <c r="I14" s="5" t="s">
        <v>17</v>
      </c>
      <c r="J14" s="5" t="s">
        <v>19</v>
      </c>
    </row>
    <row r="15" spans="1:10" s="2" customFormat="1" ht="105" x14ac:dyDescent="0.25">
      <c r="A15" s="5">
        <v>5</v>
      </c>
      <c r="B15" s="5" t="s">
        <v>9</v>
      </c>
      <c r="C15" s="7" t="s">
        <v>21</v>
      </c>
      <c r="D15" s="6" t="s">
        <v>33</v>
      </c>
      <c r="E15" s="6" t="s">
        <v>34</v>
      </c>
      <c r="F15" s="6" t="s">
        <v>35</v>
      </c>
      <c r="G15" s="6" t="s">
        <v>36</v>
      </c>
      <c r="H15" s="6" t="s">
        <v>36</v>
      </c>
      <c r="I15" s="5" t="s">
        <v>17</v>
      </c>
      <c r="J15" s="5" t="s">
        <v>19</v>
      </c>
    </row>
    <row r="16" spans="1:10" s="2" customFormat="1" ht="90" x14ac:dyDescent="0.25">
      <c r="A16" s="5">
        <v>6</v>
      </c>
      <c r="B16" s="5" t="s">
        <v>9</v>
      </c>
      <c r="C16" s="7" t="s">
        <v>21</v>
      </c>
      <c r="D16" s="6" t="s">
        <v>38</v>
      </c>
      <c r="E16" s="6" t="s">
        <v>37</v>
      </c>
      <c r="F16" s="6" t="s">
        <v>72</v>
      </c>
      <c r="G16" s="6" t="s">
        <v>40</v>
      </c>
      <c r="H16" s="6" t="s">
        <v>42</v>
      </c>
      <c r="I16" s="5" t="s">
        <v>17</v>
      </c>
      <c r="J16" s="5" t="s">
        <v>19</v>
      </c>
    </row>
    <row r="17" spans="1:10" s="2" customFormat="1" ht="90" x14ac:dyDescent="0.25">
      <c r="A17" s="5">
        <v>7</v>
      </c>
      <c r="B17" s="5" t="s">
        <v>9</v>
      </c>
      <c r="C17" s="7" t="s">
        <v>21</v>
      </c>
      <c r="D17" s="6" t="s">
        <v>39</v>
      </c>
      <c r="E17" s="6" t="s">
        <v>37</v>
      </c>
      <c r="F17" s="6" t="s">
        <v>73</v>
      </c>
      <c r="G17" s="6" t="s">
        <v>40</v>
      </c>
      <c r="H17" s="6" t="s">
        <v>41</v>
      </c>
      <c r="I17" s="5" t="s">
        <v>17</v>
      </c>
      <c r="J17" s="5" t="s">
        <v>20</v>
      </c>
    </row>
    <row r="18" spans="1:10" s="2" customFormat="1" ht="180" x14ac:dyDescent="0.25">
      <c r="A18" s="5">
        <v>8</v>
      </c>
      <c r="B18" s="5" t="s">
        <v>9</v>
      </c>
      <c r="C18" s="7" t="s">
        <v>21</v>
      </c>
      <c r="D18" s="6" t="s">
        <v>45</v>
      </c>
      <c r="E18" s="6" t="s">
        <v>46</v>
      </c>
      <c r="F18" s="6" t="s">
        <v>74</v>
      </c>
      <c r="G18" s="6" t="s">
        <v>47</v>
      </c>
      <c r="H18" s="6" t="s">
        <v>48</v>
      </c>
      <c r="I18" s="5" t="s">
        <v>17</v>
      </c>
      <c r="J18" s="5" t="s">
        <v>20</v>
      </c>
    </row>
    <row r="19" spans="1:10" s="2" customFormat="1" ht="195" x14ac:dyDescent="0.25">
      <c r="A19" s="5">
        <v>9</v>
      </c>
      <c r="B19" s="5" t="s">
        <v>9</v>
      </c>
      <c r="C19" s="7" t="s">
        <v>21</v>
      </c>
      <c r="D19" s="6" t="s">
        <v>51</v>
      </c>
      <c r="E19" s="6" t="s">
        <v>52</v>
      </c>
      <c r="F19" s="6" t="s">
        <v>75</v>
      </c>
      <c r="G19" s="6" t="s">
        <v>53</v>
      </c>
      <c r="H19" s="6" t="s">
        <v>54</v>
      </c>
      <c r="I19" s="5" t="s">
        <v>17</v>
      </c>
      <c r="J19" s="5" t="s">
        <v>20</v>
      </c>
    </row>
    <row r="20" spans="1:10" s="2" customFormat="1" ht="105" x14ac:dyDescent="0.25">
      <c r="A20" s="5">
        <v>10</v>
      </c>
      <c r="B20" s="5" t="s">
        <v>49</v>
      </c>
      <c r="C20" s="7" t="s">
        <v>10</v>
      </c>
      <c r="D20" s="6" t="s">
        <v>50</v>
      </c>
      <c r="E20" s="6" t="s">
        <v>58</v>
      </c>
      <c r="F20" s="6" t="s">
        <v>76</v>
      </c>
      <c r="G20" s="6" t="s">
        <v>59</v>
      </c>
      <c r="H20" s="6" t="s">
        <v>55</v>
      </c>
      <c r="I20" s="5" t="s">
        <v>17</v>
      </c>
      <c r="J20" s="5" t="s">
        <v>20</v>
      </c>
    </row>
    <row r="21" spans="1:10" s="2" customFormat="1" ht="105" x14ac:dyDescent="0.25">
      <c r="A21" s="5">
        <v>11</v>
      </c>
      <c r="B21" s="5" t="s">
        <v>49</v>
      </c>
      <c r="C21" s="7" t="s">
        <v>21</v>
      </c>
      <c r="D21" s="6" t="s">
        <v>56</v>
      </c>
      <c r="E21" s="6" t="s">
        <v>60</v>
      </c>
      <c r="F21" s="6" t="s">
        <v>77</v>
      </c>
      <c r="G21" s="6" t="s">
        <v>61</v>
      </c>
      <c r="H21" s="6" t="s">
        <v>62</v>
      </c>
      <c r="I21" s="5" t="s">
        <v>17</v>
      </c>
      <c r="J21" s="5" t="s">
        <v>19</v>
      </c>
    </row>
    <row r="22" spans="1:10" s="2" customFormat="1" ht="90" x14ac:dyDescent="0.25">
      <c r="A22" s="5">
        <v>12</v>
      </c>
      <c r="B22" s="6" t="s">
        <v>67</v>
      </c>
      <c r="C22" s="7" t="s">
        <v>10</v>
      </c>
      <c r="D22" s="6" t="s">
        <v>79</v>
      </c>
      <c r="E22" s="6" t="s">
        <v>63</v>
      </c>
      <c r="F22" s="6" t="s">
        <v>87</v>
      </c>
      <c r="G22" s="6" t="s">
        <v>64</v>
      </c>
      <c r="H22" s="6" t="s">
        <v>106</v>
      </c>
      <c r="I22" s="5" t="s">
        <v>17</v>
      </c>
      <c r="J22" s="5" t="s">
        <v>19</v>
      </c>
    </row>
    <row r="23" spans="1:10" s="2" customFormat="1" ht="75" x14ac:dyDescent="0.25">
      <c r="A23" s="5">
        <v>13</v>
      </c>
      <c r="B23" s="6" t="s">
        <v>65</v>
      </c>
      <c r="C23" s="7" t="s">
        <v>10</v>
      </c>
      <c r="D23" s="6" t="s">
        <v>80</v>
      </c>
      <c r="E23" s="6" t="s">
        <v>81</v>
      </c>
      <c r="F23" s="6" t="s">
        <v>82</v>
      </c>
      <c r="G23" s="6" t="s">
        <v>78</v>
      </c>
      <c r="H23" s="6" t="s">
        <v>107</v>
      </c>
      <c r="I23" s="5" t="s">
        <v>17</v>
      </c>
      <c r="J23" s="5" t="s">
        <v>19</v>
      </c>
    </row>
    <row r="24" spans="1:10" s="2" customFormat="1" ht="75" x14ac:dyDescent="0.25">
      <c r="A24" s="5">
        <v>14</v>
      </c>
      <c r="B24" s="6" t="s">
        <v>66</v>
      </c>
      <c r="C24" s="7" t="s">
        <v>10</v>
      </c>
      <c r="D24" s="6" t="s">
        <v>83</v>
      </c>
      <c r="E24" s="6" t="s">
        <v>84</v>
      </c>
      <c r="F24" s="6" t="s">
        <v>85</v>
      </c>
      <c r="G24" s="6" t="s">
        <v>86</v>
      </c>
      <c r="H24" s="6" t="s">
        <v>105</v>
      </c>
      <c r="I24" s="5" t="s">
        <v>17</v>
      </c>
      <c r="J24" s="5" t="s">
        <v>19</v>
      </c>
    </row>
    <row r="25" spans="1:10" s="2" customFormat="1" ht="90" x14ac:dyDescent="0.25">
      <c r="A25" s="5">
        <v>15</v>
      </c>
      <c r="B25" s="6" t="s">
        <v>88</v>
      </c>
      <c r="C25" s="7" t="s">
        <v>10</v>
      </c>
      <c r="D25" s="6" t="s">
        <v>89</v>
      </c>
      <c r="E25" s="6" t="s">
        <v>92</v>
      </c>
      <c r="F25" s="6" t="s">
        <v>90</v>
      </c>
      <c r="G25" s="6" t="s">
        <v>96</v>
      </c>
      <c r="H25" s="6" t="s">
        <v>104</v>
      </c>
      <c r="I25" s="5" t="s">
        <v>17</v>
      </c>
      <c r="J25" s="5" t="s">
        <v>19</v>
      </c>
    </row>
    <row r="26" spans="1:10" s="2" customFormat="1" ht="120" x14ac:dyDescent="0.25">
      <c r="A26" s="5">
        <v>16</v>
      </c>
      <c r="B26" s="6" t="s">
        <v>91</v>
      </c>
      <c r="C26" s="7" t="s">
        <v>10</v>
      </c>
      <c r="D26" s="6" t="s">
        <v>89</v>
      </c>
      <c r="E26" s="6" t="s">
        <v>93</v>
      </c>
      <c r="F26" s="6" t="s">
        <v>94</v>
      </c>
      <c r="G26" s="6" t="s">
        <v>95</v>
      </c>
      <c r="H26" s="6" t="s">
        <v>103</v>
      </c>
      <c r="I26" s="5" t="s">
        <v>17</v>
      </c>
      <c r="J26" s="5" t="s">
        <v>19</v>
      </c>
    </row>
    <row r="27" spans="1:10" s="2" customFormat="1" ht="135" x14ac:dyDescent="0.25">
      <c r="A27" s="5">
        <v>17</v>
      </c>
      <c r="B27" s="6" t="s">
        <v>97</v>
      </c>
      <c r="C27" s="7" t="s">
        <v>10</v>
      </c>
      <c r="D27" s="6" t="s">
        <v>98</v>
      </c>
      <c r="E27" s="6" t="s">
        <v>99</v>
      </c>
      <c r="F27" s="6" t="s">
        <v>100</v>
      </c>
      <c r="G27" s="6" t="s">
        <v>101</v>
      </c>
      <c r="H27" s="6" t="s">
        <v>102</v>
      </c>
      <c r="I27" s="5" t="s">
        <v>17</v>
      </c>
      <c r="J27" s="5" t="s">
        <v>19</v>
      </c>
    </row>
  </sheetData>
  <mergeCells count="6">
    <mergeCell ref="A8:B8"/>
    <mergeCell ref="A1:F1"/>
    <mergeCell ref="A5:B5"/>
    <mergeCell ref="A6:B6"/>
    <mergeCell ref="A7:B7"/>
    <mergeCell ref="A3:B3"/>
  </mergeCells>
  <conditionalFormatting sqref="C11:C27">
    <cfRule type="cellIs" dxfId="8" priority="1" operator="equal">
      <formula>"Negative"</formula>
    </cfRule>
    <cfRule type="cellIs" dxfId="7" priority="2" operator="equal">
      <formula>"Positive"</formula>
    </cfRule>
  </conditionalFormatting>
  <conditionalFormatting sqref="J11:J27">
    <cfRule type="cellIs" dxfId="6" priority="3" operator="equal">
      <formula>"Fail"</formula>
    </cfRule>
    <cfRule type="cellIs" dxfId="5" priority="4" operator="equal">
      <formula>"Pass"</formula>
    </cfRule>
  </conditionalFormatting>
  <dataValidations count="2">
    <dataValidation type="list" allowBlank="1" showInputMessage="1" showErrorMessage="1" sqref="C11:C27" xr:uid="{36F82C6A-47A6-4EB7-B283-9A44B6099699}">
      <formula1>"Positive, Negative"</formula1>
    </dataValidation>
    <dataValidation type="list" allowBlank="1" showInputMessage="1" showErrorMessage="1" sqref="J11:J27" xr:uid="{A79702D9-D641-4798-80FE-7730E86C7595}">
      <formula1>"Fail, Pass, Not Start"</formula1>
    </dataValidation>
  </dataValidations>
  <pageMargins left="0.7" right="0.7" top="0.75" bottom="0.75" header="0.3" footer="0.3"/>
  <pageSetup scale="3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C05BE-1E52-45E0-BD6C-3E955B25CBF6}">
  <sheetPr>
    <pageSetUpPr fitToPage="1"/>
  </sheetPr>
  <dimension ref="A1:M87"/>
  <sheetViews>
    <sheetView tabSelected="1" topLeftCell="E1" zoomScaleNormal="100" workbookViewId="0">
      <selection activeCell="G2" sqref="G2"/>
    </sheetView>
  </sheetViews>
  <sheetFormatPr defaultRowHeight="15" x14ac:dyDescent="0.25"/>
  <cols>
    <col min="2" max="2" width="16.85546875" customWidth="1"/>
    <col min="3" max="3" width="25.5703125" customWidth="1"/>
    <col min="4" max="4" width="26.7109375" customWidth="1"/>
    <col min="5" max="5" width="46.85546875" customWidth="1"/>
    <col min="6" max="6" width="53.7109375" customWidth="1"/>
    <col min="7" max="7" width="41.42578125" customWidth="1"/>
    <col min="8" max="8" width="42.42578125" customWidth="1"/>
    <col min="9" max="9" width="12.28515625" customWidth="1"/>
    <col min="10" max="10" width="12.42578125" bestFit="1" customWidth="1"/>
    <col min="11" max="11" width="61.5703125" customWidth="1"/>
    <col min="12" max="12" width="42.5703125" customWidth="1"/>
  </cols>
  <sheetData>
    <row r="1" spans="1:13" s="1" customFormat="1" x14ac:dyDescent="0.25">
      <c r="A1" s="13" t="s">
        <v>112</v>
      </c>
      <c r="B1" s="13"/>
      <c r="C1" s="13"/>
      <c r="D1" s="13"/>
      <c r="E1" s="13"/>
      <c r="F1" s="13"/>
      <c r="G1" s="13"/>
    </row>
    <row r="2" spans="1:13" s="1" customFormat="1" x14ac:dyDescent="0.25"/>
    <row r="3" spans="1:13" s="1" customFormat="1" x14ac:dyDescent="0.25">
      <c r="A3" s="18" t="s">
        <v>113</v>
      </c>
      <c r="B3" s="18"/>
    </row>
    <row r="4" spans="1:13" s="1" customFormat="1" x14ac:dyDescent="0.25"/>
    <row r="5" spans="1:13" s="1" customFormat="1" x14ac:dyDescent="0.25">
      <c r="A5" s="14" t="s">
        <v>126</v>
      </c>
      <c r="B5" s="14"/>
      <c r="C5" s="11"/>
      <c r="D5" s="25"/>
      <c r="E5" s="10" t="s">
        <v>114</v>
      </c>
      <c r="F5" s="10">
        <f>COUNTA(A13:A18)</f>
        <v>6</v>
      </c>
      <c r="G5" s="27" t="s">
        <v>120</v>
      </c>
      <c r="H5" s="10">
        <f>COUNTIF(I13:I18,"High")</f>
        <v>2</v>
      </c>
    </row>
    <row r="6" spans="1:13" s="1" customFormat="1" x14ac:dyDescent="0.25">
      <c r="A6" s="14" t="s">
        <v>12</v>
      </c>
      <c r="B6" s="14"/>
      <c r="C6" s="12" t="s">
        <v>110</v>
      </c>
      <c r="D6" s="26"/>
      <c r="E6" s="10" t="s">
        <v>115</v>
      </c>
      <c r="F6" s="10">
        <f>COUNTIF(M13:M18,"Open")</f>
        <v>6</v>
      </c>
      <c r="G6" s="27" t="s">
        <v>121</v>
      </c>
      <c r="H6" s="10">
        <f>COUNTIF(I13:I18,"Medium")</f>
        <v>2</v>
      </c>
    </row>
    <row r="7" spans="1:13" s="1" customFormat="1" x14ac:dyDescent="0.25">
      <c r="A7" s="14" t="s">
        <v>13</v>
      </c>
      <c r="B7" s="14"/>
      <c r="C7" s="12" t="s">
        <v>127</v>
      </c>
      <c r="D7" s="26"/>
      <c r="E7" s="10" t="s">
        <v>116</v>
      </c>
      <c r="F7" s="10">
        <f>COUNTIF(M13:M18,"In Progress")</f>
        <v>0</v>
      </c>
      <c r="G7" s="27" t="s">
        <v>156</v>
      </c>
      <c r="H7" s="10">
        <f>COUNTIF(I13:I18,"Low")</f>
        <v>2</v>
      </c>
    </row>
    <row r="8" spans="1:13" s="1" customFormat="1" x14ac:dyDescent="0.25">
      <c r="A8" s="19"/>
      <c r="B8" s="20"/>
      <c r="C8" s="11"/>
      <c r="D8" s="25"/>
      <c r="E8" s="10" t="s">
        <v>117</v>
      </c>
      <c r="F8" s="10">
        <f>COUNTIF(M13:M18,"Resolved")</f>
        <v>0</v>
      </c>
      <c r="G8" s="27" t="s">
        <v>124</v>
      </c>
      <c r="H8" s="10">
        <f>COUNTIF(C13:C18,"Functional")</f>
        <v>3</v>
      </c>
    </row>
    <row r="9" spans="1:13" s="1" customFormat="1" x14ac:dyDescent="0.25">
      <c r="A9" s="19"/>
      <c r="B9" s="20"/>
      <c r="C9" s="11"/>
      <c r="D9" s="25"/>
      <c r="E9" s="10" t="s">
        <v>118</v>
      </c>
      <c r="F9" s="10">
        <f>COUNTIF(M13:M18,"Blocked")</f>
        <v>0</v>
      </c>
      <c r="G9" s="27" t="s">
        <v>125</v>
      </c>
      <c r="H9" s="10">
        <f>COUNTIF(C13:C18,"UI")</f>
        <v>3</v>
      </c>
    </row>
    <row r="10" spans="1:13" s="1" customFormat="1" x14ac:dyDescent="0.25">
      <c r="A10" s="16"/>
      <c r="B10" s="17"/>
      <c r="C10" s="8"/>
      <c r="D10" s="8"/>
      <c r="E10" s="10" t="s">
        <v>119</v>
      </c>
      <c r="F10" s="10">
        <f>COUNTIF(M13:M18,"Closed")</f>
        <v>0</v>
      </c>
      <c r="G10" s="29"/>
      <c r="H10" s="30"/>
    </row>
    <row r="11" spans="1:13" s="1" customFormat="1" x14ac:dyDescent="0.25"/>
    <row r="12" spans="1:13" s="1" customFormat="1" x14ac:dyDescent="0.25">
      <c r="A12" s="4" t="s">
        <v>0</v>
      </c>
      <c r="B12" s="4" t="s">
        <v>122</v>
      </c>
      <c r="C12" s="4" t="s">
        <v>123</v>
      </c>
      <c r="D12" s="4" t="s">
        <v>128</v>
      </c>
      <c r="E12" s="4" t="s">
        <v>166</v>
      </c>
      <c r="F12" s="4" t="s">
        <v>129</v>
      </c>
      <c r="G12" s="4" t="s">
        <v>5</v>
      </c>
      <c r="H12" s="4" t="s">
        <v>7</v>
      </c>
      <c r="I12" s="28" t="s">
        <v>136</v>
      </c>
      <c r="J12" s="4" t="s">
        <v>8</v>
      </c>
      <c r="K12" s="4" t="s">
        <v>130</v>
      </c>
      <c r="L12" s="4" t="s">
        <v>149</v>
      </c>
      <c r="M12" s="4" t="s">
        <v>6</v>
      </c>
    </row>
    <row r="13" spans="1:13" s="23" customFormat="1" ht="150" x14ac:dyDescent="0.25">
      <c r="A13" s="6">
        <v>1</v>
      </c>
      <c r="B13" s="6" t="s">
        <v>131</v>
      </c>
      <c r="C13" s="6" t="s">
        <v>132</v>
      </c>
      <c r="D13" s="6" t="s">
        <v>167</v>
      </c>
      <c r="E13" s="6" t="s">
        <v>133</v>
      </c>
      <c r="F13" s="6" t="s">
        <v>141</v>
      </c>
      <c r="G13" s="6" t="s">
        <v>134</v>
      </c>
      <c r="H13" s="6" t="s">
        <v>135</v>
      </c>
      <c r="I13" s="24" t="s">
        <v>137</v>
      </c>
      <c r="J13" s="6" t="s">
        <v>138</v>
      </c>
      <c r="K13" s="6" t="s">
        <v>150</v>
      </c>
      <c r="L13" s="6" t="s">
        <v>151</v>
      </c>
      <c r="M13" s="6" t="s">
        <v>115</v>
      </c>
    </row>
    <row r="14" spans="1:13" s="23" customFormat="1" ht="150" x14ac:dyDescent="0.25">
      <c r="A14" s="6">
        <v>2</v>
      </c>
      <c r="B14" s="6" t="s">
        <v>131</v>
      </c>
      <c r="C14" s="6" t="s">
        <v>132</v>
      </c>
      <c r="D14" s="6" t="s">
        <v>168</v>
      </c>
      <c r="E14" s="6" t="s">
        <v>165</v>
      </c>
      <c r="F14" s="6" t="s">
        <v>172</v>
      </c>
      <c r="G14" s="6" t="s">
        <v>174</v>
      </c>
      <c r="H14" s="6" t="s">
        <v>173</v>
      </c>
      <c r="I14" s="24" t="s">
        <v>159</v>
      </c>
      <c r="J14" s="6" t="s">
        <v>138</v>
      </c>
      <c r="K14" s="6" t="s">
        <v>150</v>
      </c>
      <c r="L14" s="6" t="s">
        <v>175</v>
      </c>
      <c r="M14" s="6" t="s">
        <v>115</v>
      </c>
    </row>
    <row r="15" spans="1:13" s="23" customFormat="1" ht="150" x14ac:dyDescent="0.25">
      <c r="A15" s="6">
        <v>3</v>
      </c>
      <c r="B15" s="6" t="s">
        <v>131</v>
      </c>
      <c r="C15" s="6" t="s">
        <v>144</v>
      </c>
      <c r="D15" s="6" t="s">
        <v>176</v>
      </c>
      <c r="E15" s="6" t="s">
        <v>177</v>
      </c>
      <c r="F15" s="6" t="s">
        <v>178</v>
      </c>
      <c r="G15" s="6" t="s">
        <v>179</v>
      </c>
      <c r="H15" s="6" t="s">
        <v>180</v>
      </c>
      <c r="I15" s="24" t="s">
        <v>157</v>
      </c>
      <c r="J15" s="6" t="s">
        <v>138</v>
      </c>
      <c r="K15" s="6" t="s">
        <v>150</v>
      </c>
      <c r="L15" s="6" t="s">
        <v>181</v>
      </c>
      <c r="M15" s="6" t="s">
        <v>115</v>
      </c>
    </row>
    <row r="16" spans="1:13" s="23" customFormat="1" ht="135" x14ac:dyDescent="0.25">
      <c r="A16" s="6">
        <v>4</v>
      </c>
      <c r="B16" s="6" t="s">
        <v>139</v>
      </c>
      <c r="C16" s="6" t="s">
        <v>132</v>
      </c>
      <c r="D16" s="6" t="s">
        <v>169</v>
      </c>
      <c r="E16" s="6" t="s">
        <v>140</v>
      </c>
      <c r="F16" s="6" t="s">
        <v>142</v>
      </c>
      <c r="G16" s="6" t="s">
        <v>59</v>
      </c>
      <c r="H16" s="6" t="s">
        <v>143</v>
      </c>
      <c r="I16" s="24" t="s">
        <v>137</v>
      </c>
      <c r="J16" s="6" t="s">
        <v>138</v>
      </c>
      <c r="K16" s="6" t="s">
        <v>152</v>
      </c>
      <c r="L16" s="6" t="s">
        <v>153</v>
      </c>
      <c r="M16" s="6" t="s">
        <v>115</v>
      </c>
    </row>
    <row r="17" spans="1:13" s="23" customFormat="1" ht="195" x14ac:dyDescent="0.25">
      <c r="A17" s="6">
        <v>5</v>
      </c>
      <c r="B17" s="6" t="s">
        <v>139</v>
      </c>
      <c r="C17" s="6" t="s">
        <v>144</v>
      </c>
      <c r="D17" s="6" t="s">
        <v>170</v>
      </c>
      <c r="E17" s="6" t="s">
        <v>145</v>
      </c>
      <c r="F17" s="6" t="s">
        <v>146</v>
      </c>
      <c r="G17" s="6" t="s">
        <v>147</v>
      </c>
      <c r="H17" s="6" t="s">
        <v>148</v>
      </c>
      <c r="I17" s="24" t="s">
        <v>157</v>
      </c>
      <c r="J17" s="6" t="s">
        <v>138</v>
      </c>
      <c r="K17" s="6" t="s">
        <v>154</v>
      </c>
      <c r="L17" s="6" t="s">
        <v>155</v>
      </c>
      <c r="M17" s="6" t="s">
        <v>115</v>
      </c>
    </row>
    <row r="18" spans="1:13" s="23" customFormat="1" ht="195" x14ac:dyDescent="0.25">
      <c r="A18" s="6">
        <v>6</v>
      </c>
      <c r="B18" s="6" t="s">
        <v>158</v>
      </c>
      <c r="C18" s="6" t="s">
        <v>144</v>
      </c>
      <c r="D18" s="6" t="s">
        <v>171</v>
      </c>
      <c r="E18" s="6" t="s">
        <v>160</v>
      </c>
      <c r="F18" s="6" t="s">
        <v>161</v>
      </c>
      <c r="G18" s="6" t="s">
        <v>162</v>
      </c>
      <c r="H18" s="6" t="s">
        <v>163</v>
      </c>
      <c r="I18" s="24" t="s">
        <v>159</v>
      </c>
      <c r="J18" s="6" t="s">
        <v>138</v>
      </c>
      <c r="K18" s="6" t="s">
        <v>154</v>
      </c>
      <c r="L18" s="6" t="s">
        <v>164</v>
      </c>
      <c r="M18" s="6" t="s">
        <v>115</v>
      </c>
    </row>
    <row r="19" spans="1:13" s="22" customFormat="1" x14ac:dyDescent="0.25"/>
    <row r="20" spans="1:13" s="22" customFormat="1" x14ac:dyDescent="0.25"/>
    <row r="21" spans="1:13" s="22" customFormat="1" x14ac:dyDescent="0.25"/>
    <row r="22" spans="1:13" s="22" customFormat="1" x14ac:dyDescent="0.25"/>
    <row r="23" spans="1:13" s="22" customFormat="1" x14ac:dyDescent="0.25"/>
    <row r="24" spans="1:13" s="22" customFormat="1" x14ac:dyDescent="0.25"/>
    <row r="25" spans="1:13" s="22" customFormat="1" x14ac:dyDescent="0.25"/>
    <row r="26" spans="1:13" s="22" customFormat="1" x14ac:dyDescent="0.25"/>
    <row r="27" spans="1:13" s="22" customFormat="1" x14ac:dyDescent="0.25"/>
    <row r="28" spans="1:13" s="22" customFormat="1" x14ac:dyDescent="0.25"/>
    <row r="29" spans="1:13" s="22" customFormat="1" x14ac:dyDescent="0.25"/>
    <row r="30" spans="1:13" s="22" customFormat="1" x14ac:dyDescent="0.25"/>
    <row r="31" spans="1:13" s="22" customFormat="1" x14ac:dyDescent="0.25"/>
    <row r="32" spans="1:13" s="22" customFormat="1" x14ac:dyDescent="0.25"/>
    <row r="33" s="22" customFormat="1" x14ac:dyDescent="0.25"/>
    <row r="34" s="22" customFormat="1" x14ac:dyDescent="0.25"/>
    <row r="35" s="22" customFormat="1" x14ac:dyDescent="0.25"/>
    <row r="36" s="22" customFormat="1" x14ac:dyDescent="0.25"/>
    <row r="37" s="22" customFormat="1" x14ac:dyDescent="0.25"/>
    <row r="38" s="22" customFormat="1" x14ac:dyDescent="0.25"/>
    <row r="39" s="22" customFormat="1" x14ac:dyDescent="0.25"/>
    <row r="40" s="22" customFormat="1" x14ac:dyDescent="0.25"/>
    <row r="41" s="22" customFormat="1" x14ac:dyDescent="0.25"/>
    <row r="42" s="22" customFormat="1" x14ac:dyDescent="0.25"/>
    <row r="43" s="22" customFormat="1" x14ac:dyDescent="0.25"/>
    <row r="44" s="22" customFormat="1" x14ac:dyDescent="0.25"/>
    <row r="45" s="22" customFormat="1" x14ac:dyDescent="0.25"/>
    <row r="46" s="22" customFormat="1" x14ac:dyDescent="0.25"/>
    <row r="47" s="22" customFormat="1" x14ac:dyDescent="0.25"/>
    <row r="48" s="22" customFormat="1" x14ac:dyDescent="0.25"/>
    <row r="49" s="22" customFormat="1" x14ac:dyDescent="0.25"/>
    <row r="50" s="22" customFormat="1" x14ac:dyDescent="0.25"/>
    <row r="51" s="22" customFormat="1" x14ac:dyDescent="0.25"/>
    <row r="52" s="22" customFormat="1" x14ac:dyDescent="0.25"/>
    <row r="53" s="22" customFormat="1" x14ac:dyDescent="0.25"/>
    <row r="54" s="22" customFormat="1" x14ac:dyDescent="0.25"/>
    <row r="55" s="22" customFormat="1" x14ac:dyDescent="0.25"/>
    <row r="56" s="22" customFormat="1" x14ac:dyDescent="0.25"/>
    <row r="57" s="22" customFormat="1" x14ac:dyDescent="0.25"/>
    <row r="58" s="22" customFormat="1" x14ac:dyDescent="0.25"/>
    <row r="59" s="22" customFormat="1" x14ac:dyDescent="0.25"/>
    <row r="60" s="22" customFormat="1" x14ac:dyDescent="0.25"/>
    <row r="61" s="22" customFormat="1" x14ac:dyDescent="0.25"/>
    <row r="62" s="22" customFormat="1" x14ac:dyDescent="0.25"/>
    <row r="63" s="22" customFormat="1" x14ac:dyDescent="0.25"/>
    <row r="64" s="22" customFormat="1" x14ac:dyDescent="0.25"/>
    <row r="65" s="22" customFormat="1" x14ac:dyDescent="0.25"/>
    <row r="66" s="22" customFormat="1" x14ac:dyDescent="0.25"/>
    <row r="67" s="22" customFormat="1" x14ac:dyDescent="0.25"/>
    <row r="68" s="22" customFormat="1" x14ac:dyDescent="0.25"/>
    <row r="69" s="22" customFormat="1" x14ac:dyDescent="0.25"/>
    <row r="70" s="22" customFormat="1" x14ac:dyDescent="0.25"/>
    <row r="71" s="22" customFormat="1" x14ac:dyDescent="0.25"/>
    <row r="72" s="22" customFormat="1" x14ac:dyDescent="0.25"/>
    <row r="73" s="22" customFormat="1" x14ac:dyDescent="0.25"/>
    <row r="74" s="22" customFormat="1" x14ac:dyDescent="0.25"/>
    <row r="75" s="22" customFormat="1" x14ac:dyDescent="0.25"/>
    <row r="76" s="22" customFormat="1" x14ac:dyDescent="0.25"/>
    <row r="77" s="22" customFormat="1" x14ac:dyDescent="0.25"/>
    <row r="78" s="22" customFormat="1" x14ac:dyDescent="0.25"/>
    <row r="79" s="22" customFormat="1" x14ac:dyDescent="0.25"/>
    <row r="80" s="22" customFormat="1" x14ac:dyDescent="0.25"/>
    <row r="81" s="22" customFormat="1" x14ac:dyDescent="0.25"/>
    <row r="82" s="22" customFormat="1" x14ac:dyDescent="0.25"/>
    <row r="83" s="22" customFormat="1" x14ac:dyDescent="0.25"/>
    <row r="84" s="22" customFormat="1" x14ac:dyDescent="0.25"/>
    <row r="85" s="22" customFormat="1" x14ac:dyDescent="0.25"/>
    <row r="86" s="22" customFormat="1" x14ac:dyDescent="0.25"/>
    <row r="87" s="22" customFormat="1" x14ac:dyDescent="0.25"/>
  </sheetData>
  <mergeCells count="6">
    <mergeCell ref="A1:G1"/>
    <mergeCell ref="A3:B3"/>
    <mergeCell ref="A5:B5"/>
    <mergeCell ref="A6:B6"/>
    <mergeCell ref="A7:B7"/>
    <mergeCell ref="A10:B10"/>
  </mergeCells>
  <conditionalFormatting sqref="I13:I18">
    <cfRule type="cellIs" dxfId="4" priority="5" operator="equal">
      <formula>"High"</formula>
    </cfRule>
  </conditionalFormatting>
  <conditionalFormatting sqref="I17:I18">
    <cfRule type="cellIs" dxfId="3" priority="4" operator="equal">
      <formula>"Low"</formula>
    </cfRule>
  </conditionalFormatting>
  <conditionalFormatting sqref="I17:I18">
    <cfRule type="cellIs" dxfId="2" priority="3" operator="equal">
      <formula>"Medium"</formula>
    </cfRule>
  </conditionalFormatting>
  <conditionalFormatting sqref="I13:I15">
    <cfRule type="cellIs" dxfId="1" priority="2" operator="equal">
      <formula>"Low"</formula>
    </cfRule>
  </conditionalFormatting>
  <conditionalFormatting sqref="I13:I15">
    <cfRule type="cellIs" dxfId="0" priority="1" operator="equal">
      <formula>"Medium"</formula>
    </cfRule>
  </conditionalFormatting>
  <dataValidations count="3">
    <dataValidation type="list" allowBlank="1" showInputMessage="1" showErrorMessage="1" sqref="C13:C18" xr:uid="{0EEA99DF-6945-409D-9563-BDF195808386}">
      <formula1>"Functional, UI"</formula1>
    </dataValidation>
    <dataValidation type="list" allowBlank="1" showInputMessage="1" showErrorMessage="1" sqref="I13:I18" xr:uid="{976BDF38-328F-4142-BB77-8BC56A4B8F8C}">
      <formula1>"High, Medium, Low"</formula1>
    </dataValidation>
    <dataValidation type="list" allowBlank="1" showInputMessage="1" showErrorMessage="1" sqref="M13:M18" xr:uid="{DEE6C980-2A74-4ADD-8216-3001471FBD47}">
      <formula1>"Open, In Progress, Resolved, Blocked, Closed"</formula1>
    </dataValidation>
  </dataValidations>
  <pageMargins left="0.7" right="0.7" top="0.75" bottom="0.75" header="0.3" footer="0.3"/>
  <pageSetup scale="22"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Test_Case</vt:lpstr>
      <vt:lpstr>Bug_Report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Rahardian</dc:creator>
  <cp:lastModifiedBy>Rahardian Era</cp:lastModifiedBy>
  <cp:lastPrinted>2026-07-23T12:33:38Z</cp:lastPrinted>
  <dcterms:created xsi:type="dcterms:W3CDTF">2015-06-05T18:17:20Z</dcterms:created>
  <dcterms:modified xsi:type="dcterms:W3CDTF">2026-07-23T12:35:58Z</dcterms:modified>
</cp:coreProperties>
</file>